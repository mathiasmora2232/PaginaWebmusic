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programs\PaginaWebmusic\img\"/>
    </mc:Choice>
  </mc:AlternateContent>
  <xr:revisionPtr revIDLastSave="0" documentId="13_ncr:1_{0885FAEB-121F-4B02-A7BA-39FA54F969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reas Kleber Noboa" sheetId="1" r:id="rId1"/>
    <sheet name="Instrucciones" sheetId="2" r:id="rId2"/>
    <sheet name="Hoja1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kAOdlZ0TZF+RxK5nS7C0YVAln84e7sAscQFIoAC7J4="/>
    </ext>
  </extLst>
</workbook>
</file>

<file path=xl/calcChain.xml><?xml version="1.0" encoding="utf-8"?>
<calcChain xmlns="http://schemas.openxmlformats.org/spreadsheetml/2006/main">
  <c r="G11" i="1" l="1"/>
  <c r="G26" i="1"/>
  <c r="G23" i="1"/>
  <c r="G3" i="1"/>
  <c r="G13" i="1"/>
  <c r="G12" i="1"/>
  <c r="G15" i="1"/>
  <c r="G16" i="1"/>
  <c r="G17" i="1"/>
  <c r="G18" i="1"/>
  <c r="G19" i="1"/>
  <c r="G20" i="1"/>
  <c r="G21" i="1"/>
  <c r="G22" i="1"/>
  <c r="G24" i="1"/>
  <c r="G25" i="1"/>
  <c r="G7" i="1"/>
  <c r="G9" i="1"/>
  <c r="G10" i="1"/>
  <c r="I3" i="1"/>
  <c r="K3" i="1" l="1"/>
</calcChain>
</file>

<file path=xl/sharedStrings.xml><?xml version="1.0" encoding="utf-8"?>
<sst xmlns="http://schemas.openxmlformats.org/spreadsheetml/2006/main" count="140" uniqueCount="55">
  <si>
    <t>NOVIEMBRE 2025</t>
  </si>
  <si>
    <t>TOTAL DE HORAS REGULARES</t>
  </si>
  <si>
    <t>TOTAL DE HORAS EXTRAS</t>
  </si>
  <si>
    <t>TOTAL DE HORAS</t>
  </si>
  <si>
    <t xml:space="preserve">HOJA DE SERVICIO DIARIO </t>
  </si>
  <si>
    <t>Nº</t>
  </si>
  <si>
    <t>FECHA ASIGNADA</t>
  </si>
  <si>
    <t>NOMBRE DE PROYECTO</t>
  </si>
  <si>
    <t>LÍDER DE PROYECTO</t>
  </si>
  <si>
    <t>RESPONSABLE ASIGNADO</t>
  </si>
  <si>
    <t>TAREA</t>
  </si>
  <si>
    <t>ESTADO TAREAS</t>
  </si>
  <si>
    <t>ACTIVIDADES</t>
  </si>
  <si>
    <t>ESTADO ACTIVIDADES</t>
  </si>
  <si>
    <t>FECHA CULMINACIÓN</t>
  </si>
  <si>
    <t>HORAS REGULARES</t>
  </si>
  <si>
    <t>HORAS EXTRAS</t>
  </si>
  <si>
    <t>APROBADO</t>
  </si>
  <si>
    <t>EN REVISIÓN</t>
  </si>
  <si>
    <t>PASANTE: Kleber Isaias Noboa Zambrano</t>
  </si>
  <si>
    <t>Facturación electrónica</t>
  </si>
  <si>
    <t>Worflow-FTTG</t>
  </si>
  <si>
    <t>Julio Sanchez</t>
  </si>
  <si>
    <t>Mathias Mora</t>
  </si>
  <si>
    <t>Diagramas Camunda modeler</t>
  </si>
  <si>
    <t>Configuración de diagramas bpm sobre solicitud vacaciones</t>
  </si>
  <si>
    <t>EN PROCESO</t>
  </si>
  <si>
    <t>Configuración de diagramas bpm sobre Permisos y reprogramacion de vacaciones</t>
  </si>
  <si>
    <t>Migracion-Gotalent</t>
  </si>
  <si>
    <t>Penelope Lemos</t>
  </si>
  <si>
    <t>Edison Gonzales</t>
  </si>
  <si>
    <t>Diagrama de entrega de documentos</t>
  </si>
  <si>
    <t>Genesis Arteaga</t>
  </si>
  <si>
    <t xml:space="preserve">Documentación de pantallas proceso de Subasta Publica </t>
  </si>
  <si>
    <t xml:space="preserve">Documentación procesos </t>
  </si>
  <si>
    <t>Arbol de sistemas</t>
  </si>
  <si>
    <t>Se realizo la comparativa de Arbol de sistemas estructura Actual vs Ideal</t>
  </si>
  <si>
    <t>Se realizo una correción en la comparativa de Arbol de sistemas estructura Actual vs Ideal</t>
  </si>
  <si>
    <t>Se realizo una revision a los conteo de los totales del arbol de sistemas</t>
  </si>
  <si>
    <t>Mapeo de dominios</t>
  </si>
  <si>
    <t>Se empezo a mapear el diagrama UML de los dominios de Gotalent</t>
  </si>
  <si>
    <t>Se termino de mapear el diagrama UML de los dominios de Gotalent con la nueva estructura planteada</t>
  </si>
  <si>
    <t>Se continuo mapeando el diagrama UML de los dominios de Gotalent</t>
  </si>
  <si>
    <t>Arreglos, correcciones del Arbol de sistemas</t>
  </si>
  <si>
    <t>Stack Tecnologico y diagrama de soluciones</t>
  </si>
  <si>
    <t>Se empezo a realizar el stack tecnologico de gotalent y actualizar el diagrama de soluciones</t>
  </si>
  <si>
    <t>Se termino de realizar el stack tecnologico de gotalent y actualizar el diagrama de soluciones</t>
  </si>
  <si>
    <t>Diagrama de despliegue</t>
  </si>
  <si>
    <t>Se termino el diagrama de despliegue de los servidores y servicios de go talent</t>
  </si>
  <si>
    <t>Se termino el informe de pantallas que no se han utilizado en el sistema de gotalent</t>
  </si>
  <si>
    <t>Se empezo a realizar un informe de pantallas que no se han utilizado en el sistema de gotalent</t>
  </si>
  <si>
    <t>Revision de pantallas y codigo</t>
  </si>
  <si>
    <t>Actualización manuales</t>
  </si>
  <si>
    <t>Se incluyo diagrama de despliegue y stack Tecnologico en el manual de instalación</t>
  </si>
  <si>
    <t>Se instalo el programa de enterprise arquitect para poder realizar diagramas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</si>
</sst>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h]:mm;@\ \y"/>
    <numFmt numFmtId="165" formatCode="[h]:mm"/>
    <numFmt numFmtId="166" formatCode="dd/mmmm/yyyy;@"/>
    <numFmt numFmtId="167" formatCode="dd/mmmm/yyyy"/>
  </numFmts>
  <fonts count="11" x14ac:knownFonts="1">
    <font>
      <sz val="11"/>
      <color theme="1"/>
      <name val="Calibri"/>
      <scheme val="minor"/>
    </font>
    <font>
      <b/>
      <sz val="16"/>
      <color theme="1"/>
      <name val="Barlow"/>
    </font>
    <font>
      <sz val="11"/>
      <color theme="1"/>
      <name val="Barlow"/>
    </font>
    <font>
      <b/>
      <sz val="11"/>
      <color theme="0"/>
      <name val="Barlow"/>
    </font>
    <font>
      <b/>
      <sz val="11"/>
      <color rgb="FFFFFFFF"/>
      <name val="Barlow"/>
    </font>
    <font>
      <sz val="11"/>
      <color rgb="FF000000"/>
      <name val="Barlow"/>
    </font>
    <font>
      <sz val="8"/>
      <name val="Calibri"/>
      <family val="2"/>
      <scheme val="minor"/>
    </font>
    <font>
      <sz val="11"/>
      <name val="Calibri"/>
      <family val="2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9447A"/>
        <bgColor rgb="FF19447A"/>
      </patternFill>
    </fill>
    <fill>
      <patternFill patternType="solid">
        <fgColor rgb="FFD1D9DE"/>
        <bgColor rgb="FFD1D9DE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readingOrder="1"/>
    </xf>
    <xf numFmtId="0" fontId="0" fillId="4" borderId="0" xfId="0" applyFill="1"/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165" fontId="5" fillId="3" borderId="0" xfId="0" applyNumberFormat="1" applyFont="1" applyFill="1" applyAlignment="1">
      <alignment horizontal="center" vertical="center" wrapText="1" readingOrder="1"/>
    </xf>
    <xf numFmtId="49" fontId="9" fillId="4" borderId="0" xfId="0" applyNumberFormat="1" applyFont="1" applyFill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 wrapText="1" readingOrder="1"/>
    </xf>
    <xf numFmtId="164" fontId="10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167" fontId="5" fillId="3" borderId="0" xfId="0" applyNumberFormat="1" applyFont="1" applyFill="1" applyAlignment="1">
      <alignment horizontal="center" vertical="center" wrapText="1" readingOrder="1"/>
    </xf>
    <xf numFmtId="166" fontId="7" fillId="3" borderId="0" xfId="0" applyNumberFormat="1" applyFont="1" applyFill="1" applyAlignment="1">
      <alignment horizontal="center" vertical="center" wrapText="1" readingOrder="1"/>
    </xf>
    <xf numFmtId="0" fontId="1" fillId="0" borderId="0" xfId="0" applyFont="1" applyAlignment="1">
      <alignment horizontal="center" wrapText="1"/>
    </xf>
    <xf numFmtId="164" fontId="0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arlow"/>
        <scheme val="none"/>
      </font>
      <numFmt numFmtId="165" formatCode="[h]:mm"/>
      <fill>
        <patternFill patternType="solid">
          <fgColor rgb="FFD1D9DE"/>
          <bgColor rgb="FFD1D9DE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arlow"/>
        <scheme val="none"/>
      </font>
      <numFmt numFmtId="165" formatCode="[h]:mm"/>
      <fill>
        <patternFill patternType="solid">
          <fgColor rgb="FFD1D9DE"/>
          <bgColor rgb="FFD1D9DE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arlow"/>
        <scheme val="none"/>
      </font>
      <numFmt numFmtId="167" formatCode="dd/mmmm/yyyy"/>
      <fill>
        <patternFill patternType="solid">
          <fgColor rgb="FFD1D9DE"/>
          <bgColor rgb="FFD1D9DE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arlow"/>
        <scheme val="none"/>
      </font>
      <fill>
        <patternFill patternType="solid">
          <fgColor rgb="FFD1D9DE"/>
          <bgColor rgb="FFD1D9DE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rlow"/>
        <scheme val="none"/>
      </font>
      <fill>
        <patternFill patternType="solid">
          <fgColor rgb="FFD1D9DE"/>
          <bgColor rgb="FFD1D9DE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rlow"/>
        <scheme val="none"/>
      </font>
      <numFmt numFmtId="0" formatCode="General"/>
      <fill>
        <patternFill patternType="solid">
          <fgColor rgb="FFD1D9DE"/>
          <bgColor rgb="FFD1D9DE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dd/mm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arlow"/>
        <scheme val="none"/>
      </font>
      <fill>
        <patternFill patternType="solid">
          <fgColor rgb="FF19447A"/>
          <bgColor rgb="FF19447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262468</xdr:colOff>
      <xdr:row>0</xdr:row>
      <xdr:rowOff>115994</xdr:rowOff>
    </xdr:from>
    <xdr:to>
      <xdr:col>2</xdr:col>
      <xdr:colOff>843601</xdr:colOff>
      <xdr:row>3</xdr:row>
      <xdr:rowOff>101594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F662A970-2D89-6A25-83E9-2F4C2E7FA696}"/>
            </a:ext>
          </a:extLst>
        </xdr:cNvPr>
        <xdr:cNvGrpSpPr/>
      </xdr:nvGrpSpPr>
      <xdr:grpSpPr>
        <a:xfrm>
          <a:off x="260563" y="115994"/>
          <a:ext cx="2521693" cy="934290"/>
          <a:chOff x="4876800" y="3223260"/>
          <a:chExt cx="3247620" cy="1102126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B92298F9-52EA-19B8-FCA7-8D3EF483CA0C}"/>
              </a:ext>
            </a:extLst>
          </xdr:cNvPr>
          <xdr:cNvSpPr/>
        </xdr:nvSpPr>
        <xdr:spPr>
          <a:xfrm>
            <a:off x="4884420" y="3223260"/>
            <a:ext cx="3240000" cy="1101600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C" sz="1100"/>
          </a:p>
        </xdr:txBody>
      </xdr:sp>
      <xdr:pic>
        <xdr:nvPicPr>
          <xdr:cNvPr id="2" name="Imagen 1">
            <a:extLst>
              <a:ext uri="{FF2B5EF4-FFF2-40B4-BE49-F238E27FC236}">
                <a16:creationId xmlns:a16="http://schemas.microsoft.com/office/drawing/2014/main" id="{E19D26C8-698B-4661-9FE2-75B73AC266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6800" y="3223260"/>
            <a:ext cx="3240000" cy="110212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</xdr:colOff>
      <xdr:row>21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F624DA8-10F8-54D5-2CA3-1CE129F0E38A}"/>
            </a:ext>
          </a:extLst>
        </xdr:cNvPr>
        <xdr:cNvSpPr txBox="1"/>
      </xdr:nvSpPr>
      <xdr:spPr>
        <a:xfrm>
          <a:off x="0" y="0"/>
          <a:ext cx="6941820" cy="400812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400" b="1" i="1">
              <a:solidFill>
                <a:schemeClr val="bg1"/>
              </a:solidFill>
            </a:rPr>
            <a:t>Instrucciones para la Matriz de Tareas</a:t>
          </a:r>
          <a:endParaRPr lang="es-EC" sz="1400" i="1">
            <a:solidFill>
              <a:schemeClr val="bg1"/>
            </a:solidFill>
          </a:endParaRPr>
        </a:p>
        <a:p>
          <a:r>
            <a:rPr lang="es-EC" sz="1200">
              <a:solidFill>
                <a:schemeClr val="bg1"/>
              </a:solidFill>
            </a:rPr>
            <a:t>En esta matriz, </a:t>
          </a:r>
          <a:r>
            <a:rPr lang="es-EC" sz="1200" b="1">
              <a:solidFill>
                <a:schemeClr val="bg1"/>
              </a:solidFill>
            </a:rPr>
            <a:t>la tarea</a:t>
          </a:r>
          <a:r>
            <a:rPr lang="es-EC" sz="1200">
              <a:solidFill>
                <a:schemeClr val="bg1"/>
              </a:solidFill>
            </a:rPr>
            <a:t> (que debe estar redactada de forma completa y detallada) representa la responsabilidad asignada por el líder a cada colaborador de manera individual.</a:t>
          </a:r>
        </a:p>
        <a:p>
          <a:r>
            <a:rPr lang="es-EC" sz="1200">
              <a:solidFill>
                <a:schemeClr val="bg1"/>
              </a:solidFill>
            </a:rPr>
            <a:t>Cada tarea deberá incluir una </a:t>
          </a:r>
          <a:r>
            <a:rPr lang="es-EC" sz="1200" b="1">
              <a:solidFill>
                <a:schemeClr val="bg1"/>
              </a:solidFill>
            </a:rPr>
            <a:t>lista de actividades</a:t>
          </a:r>
          <a:r>
            <a:rPr lang="es-EC" sz="1200">
              <a:solidFill>
                <a:schemeClr val="bg1"/>
              </a:solidFill>
            </a:rPr>
            <a:t>, las cuales corresponden a las acciones específicas que el colaborador debe realizar para cumplir con dicha tarea.</a:t>
          </a:r>
        </a:p>
        <a:p>
          <a:r>
            <a:rPr lang="es-EC" sz="1200">
              <a:solidFill>
                <a:schemeClr val="bg1"/>
              </a:solidFill>
            </a:rPr>
            <a:t>Cada actividad deberá estar </a:t>
          </a:r>
          <a:r>
            <a:rPr lang="es-EC" sz="1200" b="1">
              <a:solidFill>
                <a:schemeClr val="bg1"/>
              </a:solidFill>
            </a:rPr>
            <a:t>enlistada</a:t>
          </a:r>
          <a:r>
            <a:rPr lang="es-EC" sz="1200">
              <a:solidFill>
                <a:schemeClr val="bg1"/>
              </a:solidFill>
            </a:rPr>
            <a:t> y tener asignado un </a:t>
          </a:r>
          <a:r>
            <a:rPr lang="es-EC" sz="1200" b="1">
              <a:solidFill>
                <a:schemeClr val="bg1"/>
              </a:solidFill>
            </a:rPr>
            <a:t>estado</a:t>
          </a:r>
          <a:r>
            <a:rPr lang="es-EC" sz="1200">
              <a:solidFill>
                <a:schemeClr val="bg1"/>
              </a:solidFill>
            </a:rPr>
            <a:t> según su avance, utilizando las siguientes categorías:</a:t>
          </a:r>
        </a:p>
        <a:p>
          <a:pPr lvl="1"/>
          <a:r>
            <a:rPr lang="es-EC" sz="1200" b="1">
              <a:solidFill>
                <a:schemeClr val="bg1"/>
              </a:solidFill>
            </a:rPr>
            <a:t>Análisis:</a:t>
          </a:r>
          <a:r>
            <a:rPr lang="es-EC" sz="1200">
              <a:solidFill>
                <a:schemeClr val="bg1"/>
              </a:solidFill>
            </a:rPr>
            <a:t> La tarea ha sido asignada, pero aún no se inicia.</a:t>
          </a:r>
        </a:p>
        <a:p>
          <a:pPr lvl="1"/>
          <a:r>
            <a:rPr lang="es-EC" sz="1200" b="1">
              <a:solidFill>
                <a:schemeClr val="bg1"/>
              </a:solidFill>
            </a:rPr>
            <a:t>En proceso:</a:t>
          </a:r>
          <a:r>
            <a:rPr lang="es-EC" sz="1200">
              <a:solidFill>
                <a:schemeClr val="bg1"/>
              </a:solidFill>
            </a:rPr>
            <a:t> La actividad se encuentra actualmente en desarrollo.</a:t>
          </a:r>
        </a:p>
        <a:p>
          <a:pPr lvl="1"/>
          <a:r>
            <a:rPr lang="es-EC" sz="1200" b="1">
              <a:solidFill>
                <a:schemeClr val="bg1"/>
              </a:solidFill>
            </a:rPr>
            <a:t>En revisión:</a:t>
          </a:r>
          <a:r>
            <a:rPr lang="es-EC" sz="1200">
              <a:solidFill>
                <a:schemeClr val="bg1"/>
              </a:solidFill>
            </a:rPr>
            <a:t> La actividad o tarea fue entregada al líder y se encuentra en evaluación.</a:t>
          </a:r>
        </a:p>
        <a:p>
          <a:pPr lvl="1"/>
          <a:r>
            <a:rPr lang="es-EC" sz="1200" b="1">
              <a:solidFill>
                <a:schemeClr val="bg1"/>
              </a:solidFill>
            </a:rPr>
            <a:t>Aprobado:</a:t>
          </a:r>
          <a:r>
            <a:rPr lang="es-EC" sz="1200">
              <a:solidFill>
                <a:schemeClr val="bg1"/>
              </a:solidFill>
            </a:rPr>
            <a:t> El líder revisó y aprobó la tarea o actividad como completada.</a:t>
          </a:r>
        </a:p>
        <a:p>
          <a:r>
            <a:rPr lang="es-EC" sz="1200">
              <a:solidFill>
                <a:schemeClr val="bg1"/>
              </a:solidFill>
            </a:rPr>
            <a:t>Es importante considerar que, durante un mismo día, pueden asignarse varias tareas, y no necesariamente todas deberán iniciarse ese mismo día.</a:t>
          </a:r>
        </a:p>
        <a:p>
          <a:r>
            <a:rPr lang="es-EC" sz="1200">
              <a:solidFill>
                <a:schemeClr val="bg1"/>
              </a:solidFill>
            </a:rPr>
            <a:t>De igual forma, una misma tarea puede requerir más de un día para completarse; en ese caso, deberá registrarse nuevamente en la matriz con la fecha correspondiente al día en curso, indicando las actividades realizadas y su estado de avance en esa fecha.</a:t>
          </a:r>
        </a:p>
        <a:p>
          <a:r>
            <a:rPr lang="es-EC" sz="1200">
              <a:solidFill>
                <a:schemeClr val="bg1"/>
              </a:solidFill>
            </a:rPr>
            <a:t>En caso de inasistencia o ausencia laboral, esta deberá registrarse en la matriz indicando el motivo. Además, el colaborador deberá evidenciar la forma en que recuperó el trabajo o las actividades pendientes, especificando la fecha y las acciones realizadas para su cumplimiento.</a:t>
          </a:r>
        </a:p>
        <a:p>
          <a:r>
            <a:rPr lang="es-EC" sz="1200">
              <a:solidFill>
                <a:schemeClr val="bg1"/>
              </a:solidFill>
            </a:rPr>
            <a:t>La matriz de tareas deberá abarcar el periodo comprendido </a:t>
          </a:r>
          <a:r>
            <a:rPr lang="es-EC" sz="1200" b="1">
              <a:solidFill>
                <a:schemeClr val="bg1"/>
              </a:solidFill>
            </a:rPr>
            <a:t>del día 26 del mes anterior al día 25 del mes en curso</a:t>
          </a:r>
          <a:r>
            <a:rPr lang="es-EC" sz="1200">
              <a:solidFill>
                <a:schemeClr val="bg1"/>
              </a:solidFill>
            </a:rPr>
            <a:t>, y deberá estar completamente llenada y entregada </a:t>
          </a:r>
          <a:r>
            <a:rPr lang="es-EC" sz="1200" b="1">
              <a:solidFill>
                <a:schemeClr val="bg1"/>
              </a:solidFill>
            </a:rPr>
            <a:t>el día 25 del presente mes a las 8:00 a.m.</a:t>
          </a:r>
          <a:endParaRPr lang="es-EC" sz="1200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153B1-4A84-4F30-8B41-C2569BD006EA}" name="Tabla1" displayName="Tabla1" ref="A6:L26" totalsRowShown="0" headerRowDxfId="12">
  <autoFilter ref="A6:L26" xr:uid="{DA6153B1-4A84-4F30-8B41-C2569BD006EA}"/>
  <tableColumns count="12">
    <tableColumn id="1" xr3:uid="{B4223D78-674B-4137-8E52-D831541E4D80}" name="Nº" dataDxfId="11"/>
    <tableColumn id="2" xr3:uid="{9D03DF68-D939-4BB0-AEA6-A1A72F9DFC9E}" name="FECHA ASIGNADA" dataDxfId="10"/>
    <tableColumn id="3" xr3:uid="{F48D8749-D010-457A-A317-C4921BFC4649}" name="NOMBRE DE PROYECTO" dataDxfId="9"/>
    <tableColumn id="4" xr3:uid="{4538A5E6-5713-49CC-99DF-B645FE7ED5CF}" name="LÍDER DE PROYECTO" dataDxfId="8"/>
    <tableColumn id="5" xr3:uid="{C884CED7-F528-4C12-94D3-C9F6539DBC6C}" name="RESPONSABLE ASIGNADO" dataDxfId="7"/>
    <tableColumn id="6" xr3:uid="{2AEFB2E7-4640-48C1-B10B-D52A87546AB6}" name="TAREA" dataDxfId="6"/>
    <tableColumn id="10" xr3:uid="{14C65AA6-BC4B-4A74-911C-51677AC9AAD4}" name="ESTADO TAREAS" dataDxfId="5">
      <calculatedColumnFormula>IF(COUNTIF($F:$F,F7)=0,"",IF(COUNTIFS($F:$F,F7,$I:$I,"APROBADO")=COUNTIF($F:$F,F7),"APROBADO",IF(COUNTIFS($F:$F,F7,$I:$I,"EN REVISION")=COUNTIF($F:$F,F7),"EN REVISION",IF(COUNTIFS($F:$F,F7,$I:$I,"ANALISIS")=COUNTIF($F:$F,F7),"ANALISIS",IF(COUNTIFS($F:$F,F7,$I:$I,"")=COUNTIF($F:$F,F7),"SIN ESTADO","EN PROCESO")))))</calculatedColumnFormula>
    </tableColumn>
    <tableColumn id="7" xr3:uid="{585AFF42-39D0-4BE0-B382-37A94EE24126}" name="ACTIVIDADES" dataDxfId="4"/>
    <tableColumn id="8" xr3:uid="{616AC96B-4FB6-498F-A7E6-F493BEFFDE93}" name="ESTADO ACTIVIDADES" dataDxfId="3"/>
    <tableColumn id="9" xr3:uid="{4439BC2E-1B0C-49F5-8D74-0E1767E75620}" name="FECHA CULMINACIÓN" dataDxfId="2"/>
    <tableColumn id="11" xr3:uid="{FD8E4C8C-60A6-4595-BF49-7FE9E9C95443}" name="HORAS REGULARES" dataDxfId="1"/>
    <tableColumn id="12" xr3:uid="{281C15C7-487B-46B7-9D87-94D782579A3B}" name="HORAS EXTR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97"/>
  <sheetViews>
    <sheetView tabSelected="1" topLeftCell="A11" zoomScale="90" zoomScaleNormal="90" workbookViewId="0">
      <selection activeCell="I3" sqref="I3"/>
    </sheetView>
  </sheetViews>
  <sheetFormatPr baseColWidth="10" defaultColWidth="14.44140625" defaultRowHeight="15" customHeight="1" x14ac:dyDescent="0.3"/>
  <cols>
    <col min="1" max="1" width="5.6640625" bestFit="1" customWidth="1"/>
    <col min="2" max="2" width="22.5546875" bestFit="1" customWidth="1"/>
    <col min="3" max="3" width="17" bestFit="1" customWidth="1"/>
    <col min="4" max="4" width="30.44140625" bestFit="1" customWidth="1"/>
    <col min="5" max="5" width="20.109375" bestFit="1" customWidth="1"/>
    <col min="6" max="6" width="15.33203125" customWidth="1"/>
    <col min="7" max="7" width="21.88671875" bestFit="1" customWidth="1"/>
    <col min="8" max="8" width="37.109375" customWidth="1"/>
    <col min="9" max="9" width="18.6640625" bestFit="1" customWidth="1"/>
    <col min="10" max="10" width="19" bestFit="1" customWidth="1"/>
    <col min="11" max="11" width="17.44140625" bestFit="1" customWidth="1"/>
    <col min="12" max="12" width="13.6640625" bestFit="1" customWidth="1"/>
  </cols>
  <sheetData>
    <row r="1" spans="1:27" ht="18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27" ht="36" x14ac:dyDescent="0.3">
      <c r="A2" s="10"/>
      <c r="B2" s="10"/>
      <c r="C2" s="9"/>
      <c r="D2" s="13" t="s">
        <v>0</v>
      </c>
      <c r="E2" s="9"/>
      <c r="F2" s="9"/>
      <c r="G2" s="11" t="s">
        <v>1</v>
      </c>
      <c r="H2" s="11"/>
      <c r="I2" s="11" t="s">
        <v>2</v>
      </c>
      <c r="J2" s="11"/>
      <c r="K2" s="11" t="s">
        <v>3</v>
      </c>
      <c r="L2" s="10"/>
    </row>
    <row r="3" spans="1:27" ht="21" x14ac:dyDescent="0.3">
      <c r="A3" s="10"/>
      <c r="B3" s="10"/>
      <c r="C3" s="9"/>
      <c r="D3" s="10" t="s">
        <v>4</v>
      </c>
      <c r="E3" s="10"/>
      <c r="F3" s="10"/>
      <c r="G3" s="21">
        <f>SUM(K7:K26)</f>
        <v>6.6666666666666643</v>
      </c>
      <c r="H3" s="16"/>
      <c r="I3" s="15">
        <f>SUM(L7:L1048576)</f>
        <v>0.27777777777777779</v>
      </c>
      <c r="J3" s="16"/>
      <c r="K3" s="15">
        <f>SUM(G3,I3)</f>
        <v>6.944444444444442</v>
      </c>
      <c r="L3" s="10"/>
    </row>
    <row r="4" spans="1:27" ht="18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27" ht="24.6" x14ac:dyDescent="0.55000000000000004">
      <c r="A5" s="20" t="s">
        <v>19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2.4" x14ac:dyDescent="0.35">
      <c r="A6" s="5" t="s">
        <v>5</v>
      </c>
      <c r="B6" s="6" t="s">
        <v>6</v>
      </c>
      <c r="C6" s="6" t="s">
        <v>7</v>
      </c>
      <c r="D6" s="6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2.4" x14ac:dyDescent="0.35">
      <c r="A7" s="2">
        <v>1</v>
      </c>
      <c r="B7" s="14">
        <v>45957</v>
      </c>
      <c r="C7" s="8" t="s">
        <v>21</v>
      </c>
      <c r="D7" s="3" t="s">
        <v>22</v>
      </c>
      <c r="E7" s="4" t="s">
        <v>23</v>
      </c>
      <c r="F7" s="4" t="s">
        <v>35</v>
      </c>
      <c r="G7" s="4" t="str">
        <f>IF(COUNTIF($F:$F,F7)=0,"",IF(COUNTIFS($F:$F,F7,$I:$I,"APROBADO")=COUNTIF($F:$F,F7),"APROBADO",IF(COUNTIFS($F:$F,F7,$I:$I,"EN REVISION")=COUNTIF($F:$F,F7),"EN REVISION",IF(COUNTIFS($F:$F,F7,$I:$I,"ANALISIS")=COUNTIF($F:$F,F7),"ANALISIS",IF(COUNTIFS($F:$F,F7,$I:$I,"")=COUNTIF($F:$F,F7),"SIN ESTADO","EN PROCESO")))))</f>
        <v>EN PROCESO</v>
      </c>
      <c r="H7" s="2" t="s">
        <v>43</v>
      </c>
      <c r="I7" s="3" t="s">
        <v>17</v>
      </c>
      <c r="J7" s="14">
        <v>45957</v>
      </c>
      <c r="K7" s="12">
        <v>0.33333333333333331</v>
      </c>
      <c r="L7" s="1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48.6" x14ac:dyDescent="0.35">
      <c r="A8" s="2">
        <v>2</v>
      </c>
      <c r="B8" s="14">
        <v>45958</v>
      </c>
      <c r="C8" s="8" t="s">
        <v>21</v>
      </c>
      <c r="D8" s="3" t="s">
        <v>22</v>
      </c>
      <c r="E8" s="4" t="s">
        <v>23</v>
      </c>
      <c r="F8" s="4" t="s">
        <v>24</v>
      </c>
      <c r="G8" s="4" t="s">
        <v>26</v>
      </c>
      <c r="H8" s="2" t="s">
        <v>25</v>
      </c>
      <c r="I8" s="3" t="s">
        <v>17</v>
      </c>
      <c r="J8" s="14">
        <v>45958</v>
      </c>
      <c r="K8" s="12">
        <v>0.33333333333333331</v>
      </c>
      <c r="L8" s="1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48.6" x14ac:dyDescent="0.35">
      <c r="A9" s="2">
        <v>3</v>
      </c>
      <c r="B9" s="14">
        <v>45959</v>
      </c>
      <c r="C9" s="8" t="s">
        <v>21</v>
      </c>
      <c r="D9" s="3" t="s">
        <v>22</v>
      </c>
      <c r="E9" s="4" t="s">
        <v>23</v>
      </c>
      <c r="F9" s="4" t="s">
        <v>24</v>
      </c>
      <c r="G9" s="4" t="str">
        <f>IF(COUNTIF($F:$F,F9)=0,"",IF(COUNTIFS($F:$F,F9,$I:$I,"APROBADO")=COUNTIF($F:$F,F9),"APROBADO",IF(COUNTIFS($F:$F,F9,$I:$I,"EN REVISION")=COUNTIF($F:$F,F9),"EN REVISION",IF(COUNTIFS($F:$F,F9,$I:$I,"ANALISIS")=COUNTIF($F:$F,F9),"ANALISIS",IF(COUNTIFS($F:$F,F9,$I:$I,"")=COUNTIF($F:$F,F9),"SIN ESTADO","EN PROCESO")))))</f>
        <v>APROBADO</v>
      </c>
      <c r="H9" s="2" t="s">
        <v>27</v>
      </c>
      <c r="I9" s="3" t="s">
        <v>17</v>
      </c>
      <c r="J9" s="14">
        <v>45959</v>
      </c>
      <c r="K9" s="12">
        <v>0.33333333333333331</v>
      </c>
      <c r="L9" s="1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57.6" x14ac:dyDescent="0.35">
      <c r="A10" s="2">
        <v>4</v>
      </c>
      <c r="B10" s="14">
        <v>45960</v>
      </c>
      <c r="C10" s="3" t="s">
        <v>28</v>
      </c>
      <c r="D10" s="3" t="s">
        <v>29</v>
      </c>
      <c r="E10" s="4" t="s">
        <v>23</v>
      </c>
      <c r="F10" s="8" t="s">
        <v>44</v>
      </c>
      <c r="G10" s="4" t="str">
        <f>IF(COUNTIF($F:$F,F10)=0,"",IF(COUNTIFS($F:$F,F10,$I:$I,"APROBADO")=COUNTIF($F:$F,F10),"APROBADO",IF(COUNTIFS($F:$F,F10,$I:$I,"EN REVISION")=COUNTIF($F:$F,F10),"EN REVISION",IF(COUNTIFS($F:$F,F10,$I:$I,"ANALISIS")=COUNTIF($F:$F,F10),"ANALISIS",IF(COUNTIFS($F:$F,F10,$I:$I,"")=COUNTIF($F:$F,F10),"SIN ESTADO","EN PROCESO")))))</f>
        <v>EN PROCESO</v>
      </c>
      <c r="H10" s="2" t="s">
        <v>45</v>
      </c>
      <c r="I10" s="3" t="s">
        <v>26</v>
      </c>
      <c r="J10" s="14">
        <v>45960</v>
      </c>
      <c r="K10" s="12">
        <v>0.33333333333333331</v>
      </c>
      <c r="L10" s="1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57.6" x14ac:dyDescent="0.35">
      <c r="A11" s="2">
        <v>5</v>
      </c>
      <c r="B11" s="14">
        <v>45961</v>
      </c>
      <c r="C11" s="3" t="s">
        <v>28</v>
      </c>
      <c r="D11" s="3" t="s">
        <v>29</v>
      </c>
      <c r="E11" s="4" t="s">
        <v>23</v>
      </c>
      <c r="F11" s="8" t="s">
        <v>44</v>
      </c>
      <c r="G11" s="4" t="str">
        <f>IF(COUNTIF($F:$F,F11)=0,"",IF(COUNTIFS($F:$F,F11,$I:$I,"APROBADO")=COUNTIF($F:$F,F11),"APROBADO",IF(COUNTIFS($F:$F,F11,$I:$I,"EN REVISION")=COUNTIF($F:$F,F11),"EN REVISION",IF(COUNTIFS($F:$F,F11,$I:$I,"ANALISIS")=COUNTIF($F:$F,F11),"ANALISIS",IF(COUNTIFS($F:$F,F11,$I:$I,"")=COUNTIF($F:$F,F11),"SIN ESTADO","EN PROCESO")))))</f>
        <v>EN PROCESO</v>
      </c>
      <c r="H11" s="2" t="s">
        <v>46</v>
      </c>
      <c r="I11" s="3" t="s">
        <v>17</v>
      </c>
      <c r="J11" s="14">
        <v>45961</v>
      </c>
      <c r="K11" s="12">
        <v>0.33333333333333331</v>
      </c>
      <c r="L11" s="1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3.6" customHeight="1" x14ac:dyDescent="0.35">
      <c r="A12" s="2">
        <v>6</v>
      </c>
      <c r="B12" s="14">
        <v>45966</v>
      </c>
      <c r="C12" s="3" t="s">
        <v>28</v>
      </c>
      <c r="D12" s="3" t="s">
        <v>29</v>
      </c>
      <c r="E12" s="4" t="s">
        <v>23</v>
      </c>
      <c r="F12" s="8" t="s">
        <v>47</v>
      </c>
      <c r="G12" s="4" t="str">
        <f>IF(COUNTIF($F:$F,F12)=0,"",IF(COUNTIFS($F:$F,F12,$I:$I,"APROBADO")=COUNTIF($F:$F,F12),"APROBADO",IF(COUNTIFS($F:$F,F12,$I:$I,"EN REVISION")=COUNTIF($F:$F,F12),"EN REVISION",IF(COUNTIFS($F:$F,F12,$I:$I,"ANALISIS")=COUNTIF($F:$F,F12),"ANALISIS",IF(COUNTIFS($F:$F,F12,$I:$I,"")=COUNTIF($F:$F,F12),"SIN ESTADO","EN PROCESO")))))</f>
        <v>APROBADO</v>
      </c>
      <c r="H12" s="2" t="s">
        <v>48</v>
      </c>
      <c r="I12" s="3" t="s">
        <v>17</v>
      </c>
      <c r="J12" s="14">
        <v>45966</v>
      </c>
      <c r="K12" s="12">
        <v>0.33333333333333331</v>
      </c>
      <c r="L12" s="1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47.4" customHeight="1" x14ac:dyDescent="0.35">
      <c r="A13" s="17">
        <v>7</v>
      </c>
      <c r="B13" s="19">
        <v>45966</v>
      </c>
      <c r="C13" s="3" t="s">
        <v>28</v>
      </c>
      <c r="D13" s="3" t="s">
        <v>29</v>
      </c>
      <c r="E13" s="4" t="s">
        <v>23</v>
      </c>
      <c r="F13" s="8" t="s">
        <v>51</v>
      </c>
      <c r="G13" s="4" t="str">
        <f>IF(COUNTIF($F:$F,F13)=0,"",IF(COUNTIFS($F:$F,F13,$I:$I,"APROBADO")=COUNTIF($F:$F,F13),"APROBADO",IF(COUNTIFS($F:$F,F13,$I:$I,"EN REVISION")=COUNTIF($F:$F,F13),"EN REVISION",IF(COUNTIFS($F:$F,F13,$I:$I,"ANALISIS")=COUNTIF($F:$F,F13),"ANALISIS",IF(COUNTIFS($F:$F,F13,$I:$I,"")=COUNTIF($F:$F,F13),"SIN ESTADO","EN PROCESO")))))</f>
        <v>EN PROCESO</v>
      </c>
      <c r="H13" s="2" t="s">
        <v>50</v>
      </c>
      <c r="I13" s="3" t="s">
        <v>18</v>
      </c>
      <c r="J13" s="18">
        <v>45967</v>
      </c>
      <c r="K13" s="12">
        <v>0.33333333333333331</v>
      </c>
      <c r="L13" s="1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64.8" customHeight="1" x14ac:dyDescent="0.35">
      <c r="A14" s="2">
        <v>8</v>
      </c>
      <c r="B14" s="14">
        <v>45967</v>
      </c>
      <c r="C14" s="3" t="s">
        <v>28</v>
      </c>
      <c r="D14" s="3" t="s">
        <v>29</v>
      </c>
      <c r="E14" s="4" t="s">
        <v>23</v>
      </c>
      <c r="F14" s="8" t="s">
        <v>51</v>
      </c>
      <c r="G14" s="4" t="s">
        <v>17</v>
      </c>
      <c r="H14" s="2" t="s">
        <v>49</v>
      </c>
      <c r="I14" s="3" t="s">
        <v>17</v>
      </c>
      <c r="J14" s="14">
        <v>45967</v>
      </c>
      <c r="K14" s="12">
        <v>0.33333333333333331</v>
      </c>
      <c r="L14" s="1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2.4" x14ac:dyDescent="0.35">
      <c r="A15" s="17">
        <v>11</v>
      </c>
      <c r="B15" s="14">
        <v>45968</v>
      </c>
      <c r="C15" s="3" t="s">
        <v>20</v>
      </c>
      <c r="D15" s="3" t="s">
        <v>29</v>
      </c>
      <c r="E15" s="4" t="s">
        <v>23</v>
      </c>
      <c r="F15" s="2" t="s">
        <v>39</v>
      </c>
      <c r="G15" s="4" t="str">
        <f>IF(COUNTIF($F:$F,F15)=0,"",IF(COUNTIFS($F:$F,F15,$I:$I,"APROBADO")=COUNTIF($F:$F,F15),"APROBADO",IF(COUNTIFS($F:$F,F15,$I:$I,"EN REVISION")=COUNTIF($F:$F,F15),"EN REVISION",IF(COUNTIFS($F:$F,F15,$I:$I,"ANALISIS")=COUNTIF($F:$F,F15),"ANALISIS",IF(COUNTIFS($F:$F,F15,$I:$I,"")=COUNTIF($F:$F,F15),"SIN ESTADO","EN PROCESO")))))</f>
        <v>EN PROCESO</v>
      </c>
      <c r="H15" s="2" t="s">
        <v>54</v>
      </c>
      <c r="I15" s="3" t="s">
        <v>17</v>
      </c>
      <c r="J15" s="14">
        <v>45968</v>
      </c>
      <c r="K15" s="12">
        <v>0.33333333333333331</v>
      </c>
      <c r="L15" s="1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48.6" x14ac:dyDescent="0.35">
      <c r="A16" s="17">
        <v>12</v>
      </c>
      <c r="B16" s="14">
        <v>45971</v>
      </c>
      <c r="C16" s="3" t="s">
        <v>20</v>
      </c>
      <c r="D16" s="3" t="s">
        <v>29</v>
      </c>
      <c r="E16" s="4" t="s">
        <v>23</v>
      </c>
      <c r="F16" s="2" t="s">
        <v>52</v>
      </c>
      <c r="G16" s="4" t="str">
        <f>IF(COUNTIF($F:$F,F16)=0,"",IF(COUNTIFS($F:$F,F16,$I:$I,"APROBADO")=COUNTIF($F:$F,F16),"APROBADO",IF(COUNTIFS($F:$F,F16,$I:$I,"EN REVISION")=COUNTIF($F:$F,F16),"EN REVISION",IF(COUNTIFS($F:$F,F16,$I:$I,"ANALISIS")=COUNTIF($F:$F,F16),"ANALISIS",IF(COUNTIFS($F:$F,F16,$I:$I,"")=COUNTIF($F:$F,F16),"SIN ESTADO","EN PROCESO")))))</f>
        <v>APROBADO</v>
      </c>
      <c r="H16" s="2" t="s">
        <v>53</v>
      </c>
      <c r="I16" s="3" t="s">
        <v>17</v>
      </c>
      <c r="J16" s="14">
        <v>45971</v>
      </c>
      <c r="K16" s="12">
        <v>0.33333333333333331</v>
      </c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2.4" x14ac:dyDescent="0.35">
      <c r="A17" s="17">
        <v>13</v>
      </c>
      <c r="B17" s="14">
        <v>45972</v>
      </c>
      <c r="C17" s="3" t="s">
        <v>28</v>
      </c>
      <c r="D17" s="3" t="s">
        <v>29</v>
      </c>
      <c r="E17" s="4" t="s">
        <v>23</v>
      </c>
      <c r="F17" s="2" t="s">
        <v>39</v>
      </c>
      <c r="G17" s="4" t="str">
        <f>IF(COUNTIF($F:$F,F17)=0,"",IF(COUNTIFS($F:$F,F17,$I:$I,"APROBADO")=COUNTIF($F:$F,F17),"APROBADO",IF(COUNTIFS($F:$F,F17,$I:$I,"EN REVISION")=COUNTIF($F:$F,F17),"EN REVISION",IF(COUNTIFS($F:$F,F17,$I:$I,"ANALISIS")=COUNTIF($F:$F,F17),"ANALISIS",IF(COUNTIFS($F:$F,F17,$I:$I,"")=COUNTIF($F:$F,F17),"SIN ESTADO","EN PROCESO")))))</f>
        <v>EN PROCESO</v>
      </c>
      <c r="H17" s="2" t="s">
        <v>40</v>
      </c>
      <c r="I17" s="3" t="s">
        <v>26</v>
      </c>
      <c r="J17" s="14">
        <v>45972</v>
      </c>
      <c r="K17" s="12">
        <v>0.33333333333333331</v>
      </c>
      <c r="L17" s="12">
        <v>1.3888888888888888E-2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2.4" x14ac:dyDescent="0.35">
      <c r="A18" s="17">
        <v>14</v>
      </c>
      <c r="B18" s="14">
        <v>45973</v>
      </c>
      <c r="C18" s="3" t="s">
        <v>28</v>
      </c>
      <c r="D18" s="3" t="s">
        <v>29</v>
      </c>
      <c r="E18" s="4" t="s">
        <v>23</v>
      </c>
      <c r="F18" s="2" t="s">
        <v>39</v>
      </c>
      <c r="G18" s="4" t="str">
        <f>IF(COUNTIF($F:$F,F18)=0,"",IF(COUNTIFS($F:$F,F18,$I:$I,"APROBADO")=COUNTIF($F:$F,F18),"APROBADO",IF(COUNTIFS($F:$F,F18,$I:$I,"EN REVISION")=COUNTIF($F:$F,F18),"EN REVISION",IF(COUNTIFS($F:$F,F18,$I:$I,"ANALISIS")=COUNTIF($F:$F,F18),"ANALISIS",IF(COUNTIFS($F:$F,F18,$I:$I,"")=COUNTIF($F:$F,F18),"SIN ESTADO","EN PROCESO")))))</f>
        <v>EN PROCESO</v>
      </c>
      <c r="H18" s="2" t="s">
        <v>42</v>
      </c>
      <c r="I18" s="3" t="s">
        <v>26</v>
      </c>
      <c r="J18" s="14">
        <v>45973</v>
      </c>
      <c r="K18" s="12">
        <v>0.33333333333333331</v>
      </c>
      <c r="L18" s="12">
        <v>1.3888888888888888E-2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2.4" x14ac:dyDescent="0.35">
      <c r="A19" s="17">
        <v>15</v>
      </c>
      <c r="B19" s="14">
        <v>45974</v>
      </c>
      <c r="C19" s="3" t="s">
        <v>28</v>
      </c>
      <c r="D19" s="3" t="s">
        <v>29</v>
      </c>
      <c r="E19" s="4" t="s">
        <v>23</v>
      </c>
      <c r="F19" s="2" t="s">
        <v>39</v>
      </c>
      <c r="G19" s="4" t="str">
        <f>IF(COUNTIF($F:$F,F19)=0,"",IF(COUNTIFS($F:$F,F19,$I:$I,"APROBADO")=COUNTIF($F:$F,F19),"APROBADO",IF(COUNTIFS($F:$F,F19,$I:$I,"EN REVISION")=COUNTIF($F:$F,F19),"EN REVISION",IF(COUNTIFS($F:$F,F19,$I:$I,"ANALISIS")=COUNTIF($F:$F,F19),"ANALISIS",IF(COUNTIFS($F:$F,F19,$I:$I,"")=COUNTIF($F:$F,F19),"SIN ESTADO","EN PROCESO")))))</f>
        <v>EN PROCESO</v>
      </c>
      <c r="H19" s="2" t="s">
        <v>42</v>
      </c>
      <c r="I19" s="3" t="s">
        <v>26</v>
      </c>
      <c r="J19" s="14">
        <v>45973</v>
      </c>
      <c r="K19" s="12">
        <v>0.33333333333333331</v>
      </c>
      <c r="L19" s="12">
        <v>1.3888888888888888E-2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48.6" x14ac:dyDescent="0.35">
      <c r="A20" s="17">
        <v>16</v>
      </c>
      <c r="B20" s="14">
        <v>45975</v>
      </c>
      <c r="C20" s="3" t="s">
        <v>28</v>
      </c>
      <c r="D20" s="3" t="s">
        <v>29</v>
      </c>
      <c r="E20" s="4" t="s">
        <v>23</v>
      </c>
      <c r="F20" s="2" t="s">
        <v>39</v>
      </c>
      <c r="G20" s="4" t="str">
        <f>IF(COUNTIF($F:$F,F20)=0,"",IF(COUNTIFS($F:$F,F20,$I:$I,"APROBADO")=COUNTIF($F:$F,F20),"APROBADO",IF(COUNTIFS($F:$F,F20,$I:$I,"EN REVISION")=COUNTIF($F:$F,F20),"EN REVISION",IF(COUNTIFS($F:$F,F20,$I:$I,"ANALISIS")=COUNTIF($F:$F,F20),"ANALISIS",IF(COUNTIFS($F:$F,F20,$I:$I,"")=COUNTIF($F:$F,F20),"SIN ESTADO","EN PROCESO")))))</f>
        <v>EN PROCESO</v>
      </c>
      <c r="H20" s="2" t="s">
        <v>41</v>
      </c>
      <c r="I20" s="3" t="s">
        <v>18</v>
      </c>
      <c r="J20" s="14">
        <v>45975</v>
      </c>
      <c r="K20" s="12">
        <v>0.33333333333333331</v>
      </c>
      <c r="L20" s="12">
        <v>1.3888888888888888E-2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2.4" x14ac:dyDescent="0.35">
      <c r="A21" s="17">
        <v>17</v>
      </c>
      <c r="B21" s="14">
        <v>45978</v>
      </c>
      <c r="C21" s="3" t="s">
        <v>28</v>
      </c>
      <c r="D21" s="3" t="s">
        <v>29</v>
      </c>
      <c r="E21" s="4" t="s">
        <v>23</v>
      </c>
      <c r="F21" s="8" t="s">
        <v>35</v>
      </c>
      <c r="G21" s="4" t="str">
        <f>IF(COUNTIF($F:$F,F21)=0,"",IF(COUNTIFS($F:$F,F21,$I:$I,"APROBADO")=COUNTIF($F:$F,F21),"APROBADO",IF(COUNTIFS($F:$F,F21,$I:$I,"EN REVISION")=COUNTIF($F:$F,F21),"EN REVISION",IF(COUNTIFS($F:$F,F21,$I:$I,"ANALISIS")=COUNTIF($F:$F,F21),"ANALISIS",IF(COUNTIFS($F:$F,F21,$I:$I,"")=COUNTIF($F:$F,F21),"SIN ESTADO","EN PROCESO")))))</f>
        <v>EN PROCESO</v>
      </c>
      <c r="H21" s="2" t="s">
        <v>38</v>
      </c>
      <c r="I21" s="3" t="s">
        <v>26</v>
      </c>
      <c r="J21" s="14">
        <v>45975</v>
      </c>
      <c r="K21" s="12">
        <v>0.33333333333333331</v>
      </c>
      <c r="L21" s="12">
        <v>1.3888888888888888E-2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2.4" x14ac:dyDescent="0.35">
      <c r="A22" s="17">
        <v>20</v>
      </c>
      <c r="B22" s="14">
        <v>45979</v>
      </c>
      <c r="C22" s="3" t="s">
        <v>28</v>
      </c>
      <c r="D22" s="3" t="s">
        <v>29</v>
      </c>
      <c r="E22" s="4" t="s">
        <v>23</v>
      </c>
      <c r="F22" s="8" t="s">
        <v>35</v>
      </c>
      <c r="G22" s="4" t="str">
        <f>IF(COUNTIF($F:$F,F22)=0,"",IF(COUNTIFS($F:$F,F22,$I:$I,"APROBADO")=COUNTIF($F:$F,F22),"APROBADO",IF(COUNTIFS($F:$F,F22,$I:$I,"EN REVISION")=COUNTIF($F:$F,F22),"EN REVISION",IF(COUNTIFS($F:$F,F22,$I:$I,"ANALISIS")=COUNTIF($F:$F,F22),"ANALISIS",IF(COUNTIFS($F:$F,F22,$I:$I,"")=COUNTIF($F:$F,F22),"SIN ESTADO","EN PROCESO")))))</f>
        <v>EN PROCESO</v>
      </c>
      <c r="H22" s="2" t="s">
        <v>36</v>
      </c>
      <c r="I22" s="3" t="s">
        <v>18</v>
      </c>
      <c r="J22" s="14">
        <v>45978</v>
      </c>
      <c r="K22" s="12">
        <v>0.33333333333333331</v>
      </c>
      <c r="L22" s="12">
        <v>0.20833333333333334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48.6" x14ac:dyDescent="0.35">
      <c r="A23" s="17">
        <v>22</v>
      </c>
      <c r="B23" s="14">
        <v>45980</v>
      </c>
      <c r="C23" s="3" t="s">
        <v>28</v>
      </c>
      <c r="D23" s="3" t="s">
        <v>29</v>
      </c>
      <c r="E23" s="4" t="s">
        <v>23</v>
      </c>
      <c r="F23" s="8" t="s">
        <v>35</v>
      </c>
      <c r="G23" s="4" t="str">
        <f>IF(COUNTIF($F:$F,F23)=0,"",IF(COUNTIFS($F:$F,F23,$I:$I,"APROBADO")=COUNTIF($F:$F,F23),"APROBADO",IF(COUNTIFS($F:$F,F23,$I:$I,"EN REVISION")=COUNTIF($F:$F,F23),"EN REVISION",IF(COUNTIFS($F:$F,F23,$I:$I,"ANALISIS")=COUNTIF($F:$F,F23),"ANALISIS",IF(COUNTIFS($F:$F,F23,$I:$I,"")=COUNTIF($F:$F,F23),"SIN ESTADO","EN PROCESO")))))</f>
        <v>EN PROCESO</v>
      </c>
      <c r="H23" s="2" t="s">
        <v>37</v>
      </c>
      <c r="I23" s="3" t="s">
        <v>18</v>
      </c>
      <c r="J23" s="18">
        <v>45981</v>
      </c>
      <c r="K23" s="12">
        <v>0.33333333333333331</v>
      </c>
      <c r="L23" s="1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2.4" x14ac:dyDescent="0.35">
      <c r="A24" s="17">
        <v>23</v>
      </c>
      <c r="B24" s="14">
        <v>45981</v>
      </c>
      <c r="C24" s="8" t="s">
        <v>21</v>
      </c>
      <c r="D24" s="3" t="s">
        <v>32</v>
      </c>
      <c r="E24" s="4" t="s">
        <v>23</v>
      </c>
      <c r="F24" s="8" t="s">
        <v>34</v>
      </c>
      <c r="G24" s="4" t="str">
        <f>IF(COUNTIF($F:$F,F24)=0,"",IF(COUNTIFS($F:$F,F24,$I:$I,"APROBADO")=COUNTIF($F:$F,F24),"APROBADO",IF(COUNTIFS($F:$F,F24,$I:$I,"EN REVISION")=COUNTIF($F:$F,F24),"EN REVISION",IF(COUNTIFS($F:$F,F24,$I:$I,"ANALISIS")=COUNTIF($F:$F,F24),"ANALISIS",IF(COUNTIFS($F:$F,F24,$I:$I,"")=COUNTIF($F:$F,F24),"SIN ESTADO","EN PROCESO")))))</f>
        <v>EN PROCESO</v>
      </c>
      <c r="H24" s="2" t="s">
        <v>33</v>
      </c>
      <c r="I24" s="3" t="s">
        <v>26</v>
      </c>
      <c r="J24" s="14">
        <v>45981</v>
      </c>
      <c r="K24" s="12">
        <v>0.33333333333333331</v>
      </c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43.2" x14ac:dyDescent="0.35">
      <c r="A25" s="17">
        <v>24</v>
      </c>
      <c r="B25" s="14">
        <v>45981</v>
      </c>
      <c r="C25" s="8" t="s">
        <v>21</v>
      </c>
      <c r="D25" s="3" t="s">
        <v>30</v>
      </c>
      <c r="E25" s="4" t="s">
        <v>23</v>
      </c>
      <c r="F25" s="8" t="s">
        <v>24</v>
      </c>
      <c r="G25" s="4" t="str">
        <f>IF(COUNTIF($F:$F,F25)=0,"",IF(COUNTIFS($F:$F,F25,$I:$I,"APROBADO")=COUNTIF($F:$F,F25),"APROBADO",IF(COUNTIFS($F:$F,F25,$I:$I,"EN REVISION")=COUNTIF($F:$F,F25),"EN REVISION",IF(COUNTIFS($F:$F,F25,$I:$I,"ANALISIS")=COUNTIF($F:$F,F25),"ANALISIS",IF(COUNTIFS($F:$F,F25,$I:$I,"")=COUNTIF($F:$F,F25),"SIN ESTADO","EN PROCESO")))))</f>
        <v>APROBADO</v>
      </c>
      <c r="H25" s="2" t="s">
        <v>31</v>
      </c>
      <c r="I25" s="3" t="s">
        <v>17</v>
      </c>
      <c r="J25" s="14">
        <v>45981</v>
      </c>
      <c r="K25" s="12">
        <v>0.33333333333333331</v>
      </c>
      <c r="L25" s="1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2.4" x14ac:dyDescent="0.35">
      <c r="A26" s="17">
        <v>25</v>
      </c>
      <c r="B26" s="14">
        <v>45982</v>
      </c>
      <c r="C26" s="8" t="s">
        <v>21</v>
      </c>
      <c r="D26" s="3" t="s">
        <v>32</v>
      </c>
      <c r="E26" s="4" t="s">
        <v>23</v>
      </c>
      <c r="F26" s="8" t="s">
        <v>34</v>
      </c>
      <c r="G26" s="4" t="str">
        <f>IF(COUNTIF($F:$F,F26)=0,"",IF(COUNTIFS($F:$F,F26,$I:$I,"APROBADO")=COUNTIF($F:$F,F26),"APROBADO",IF(COUNTIFS($F:$F,F26,$I:$I,"EN REVISION")=COUNTIF($F:$F,F26),"EN REVISION",IF(COUNTIFS($F:$F,F26,$I:$I,"ANALISIS")=COUNTIF($F:$F,F26),"ANALISIS",IF(COUNTIFS($F:$F,F26,$I:$I,"")=COUNTIF($F:$F,F26),"SIN ESTADO","EN PROCESO")))))</f>
        <v>EN PROCESO</v>
      </c>
      <c r="H26" s="2" t="s">
        <v>33</v>
      </c>
      <c r="I26" s="3" t="s">
        <v>17</v>
      </c>
      <c r="J26" s="14">
        <v>45982</v>
      </c>
      <c r="K26" s="12">
        <v>0.33333333333333331</v>
      </c>
      <c r="L26" s="1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27" ht="1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27" ht="1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27" ht="1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27" ht="1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</sheetData>
  <mergeCells count="1">
    <mergeCell ref="A5:L5"/>
  </mergeCells>
  <phoneticPr fontId="6" type="noConversion"/>
  <dataValidations count="1">
    <dataValidation type="list" allowBlank="1" showErrorMessage="1" sqref="I7:I26" xr:uid="{00000000-0002-0000-0000-000000000000}">
      <formula1>"ANALISIS,EN PROCESO,EN REVISIÓN,APROBADO"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>
      <selection activeCell="E24" sqref="E24"/>
    </sheetView>
  </sheetViews>
  <sheetFormatPr baseColWidth="10" defaultColWidth="14.44140625" defaultRowHeight="15" customHeight="1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4.44140625" defaultRowHeight="15" customHeight="1" x14ac:dyDescent="0.3"/>
  <cols>
    <col min="1" max="26" width="9.10937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EFB95892C70F42A87E38C8E6ECF573" ma:contentTypeVersion="16" ma:contentTypeDescription="Crear nuevo documento." ma:contentTypeScope="" ma:versionID="a01b07f19f944a8a54b9b9426079b44c">
  <xsd:schema xmlns:xsd="http://www.w3.org/2001/XMLSchema" xmlns:xs="http://www.w3.org/2001/XMLSchema" xmlns:p="http://schemas.microsoft.com/office/2006/metadata/properties" xmlns:ns2="e1e5f257-9af0-49d6-b05c-247379db77e1" xmlns:ns3="1e389b15-a8e7-4c4e-a357-f98247e9b671" targetNamespace="http://schemas.microsoft.com/office/2006/metadata/properties" ma:root="true" ma:fieldsID="550caf24c0df0ecbf903e7a437388b83" ns2:_="" ns3:_="">
    <xsd:import namespace="e1e5f257-9af0-49d6-b05c-247379db77e1"/>
    <xsd:import namespace="1e389b15-a8e7-4c4e-a357-f98247e9b6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Secuenci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5f257-9af0-49d6-b05c-247379db77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53bdb0d3-90da-473d-865f-fe5737eee2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Secuencia" ma:index="21" nillable="true" ma:displayName="Secuencia" ma:description="Describe la secuencia de almacenamiento de documentos" ma:format="Dropdown" ma:internalName="Secuencia" ma:percentage="FALSE">
      <xsd:simpleType>
        <xsd:restriction base="dms:Number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89b15-a8e7-4c4e-a357-f98247e9b67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6eb566d-17f0-4174-a59c-44722ab989ad}" ma:internalName="TaxCatchAll" ma:showField="CatchAllData" ma:web="1e389b15-a8e7-4c4e-a357-f98247e9b6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389b15-a8e7-4c4e-a357-f98247e9b671" xsi:nil="true"/>
    <Secuencia xmlns="e1e5f257-9af0-49d6-b05c-247379db77e1" xsi:nil="true"/>
    <lcf76f155ced4ddcb4097134ff3c332f xmlns="e1e5f257-9af0-49d6-b05c-247379db77e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285545-C6C5-4C79-BADA-E664A1DC47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5f257-9af0-49d6-b05c-247379db77e1"/>
    <ds:schemaRef ds:uri="1e389b15-a8e7-4c4e-a357-f98247e9b6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5D6EE6-8023-42B1-9528-C9357FC2EA3D}">
  <ds:schemaRefs>
    <ds:schemaRef ds:uri="http://schemas.microsoft.com/office/2006/metadata/properties"/>
    <ds:schemaRef ds:uri="http://schemas.microsoft.com/office/infopath/2007/PartnerControls"/>
    <ds:schemaRef ds:uri="1e389b15-a8e7-4c4e-a357-f98247e9b671"/>
    <ds:schemaRef ds:uri="e1e5f257-9af0-49d6-b05c-247379db77e1"/>
  </ds:schemaRefs>
</ds:datastoreItem>
</file>

<file path=customXml/itemProps3.xml><?xml version="1.0" encoding="utf-8"?>
<ds:datastoreItem xmlns:ds="http://schemas.openxmlformats.org/officeDocument/2006/customXml" ds:itemID="{73AA597F-5F45-400D-A323-C5F0152E70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Tareas Kleber Noboa</vt:lpstr>
      <vt:lpstr>Instrucciones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Jorman Rodolfo Cox Granda</dc:creator>
  <cp:keywords/>
  <dc:description/>
  <cp:lastModifiedBy>Mathias Mora</cp:lastModifiedBy>
  <cp:revision/>
  <dcterms:created xsi:type="dcterms:W3CDTF">2023-03-10T17:30:07Z</dcterms:created>
  <dcterms:modified xsi:type="dcterms:W3CDTF">2025-11-25T18:28:52Z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0x0101002BEFB95892C70F42A87E38C8E6ECF573</vt:lpwstr>
  </property>
  <property fmtid="{D5CDD505-2E9C-101B-9397-08002B2CF9AE}" pid="3" name="MediaServiceImageTags">
    <vt:lpwstr/>
  </property>
</Properties>
</file>